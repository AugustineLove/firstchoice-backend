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Input Referenc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C9A84C"/>
      <sz val="9"/>
    </font>
    <font>
      <name val="Arial"/>
      <b val="1"/>
      <color rgb="00C9A84C"/>
      <sz val="9"/>
    </font>
    <font>
      <name val="Arial"/>
      <b val="1"/>
      <color rgb="007F8C8D"/>
      <sz val="8"/>
    </font>
    <font>
      <name val="Arial"/>
      <b val="1"/>
      <color rgb="000D1B2A"/>
      <sz val="20"/>
    </font>
    <font>
      <name val="Arial"/>
      <i val="1"/>
      <color rgb="007F8C8D"/>
      <sz val="7"/>
    </font>
    <font>
      <name val="Arial"/>
      <b val="1"/>
      <color rgb="000D1B2A"/>
      <sz val="13"/>
    </font>
    <font>
      <name val="Arial"/>
      <i val="1"/>
      <color rgb="001ABC9C"/>
      <sz val="7"/>
    </font>
    <font>
      <name val="Arial"/>
      <b val="1"/>
      <color rgb="003498DB"/>
      <sz val="13"/>
    </font>
    <font>
      <name val="Arial"/>
      <b val="1"/>
      <color rgb="00C9A84C"/>
      <sz val="13"/>
    </font>
    <font>
      <name val="Arial"/>
      <b val="1"/>
      <color rgb="001ABC9C"/>
      <sz val="13"/>
    </font>
    <font>
      <name val="Arial"/>
      <b val="1"/>
      <color rgb="009B59B6"/>
      <sz val="13"/>
    </font>
    <font>
      <name val="Arial"/>
      <b val="1"/>
      <color rgb="00FFFFFF"/>
      <sz val="8"/>
    </font>
    <font>
      <name val="Arial"/>
      <b val="1"/>
      <color rgb="000D1B2A"/>
      <sz val="9"/>
    </font>
    <font>
      <name val="Arial"/>
      <color rgb="000D1B2A"/>
      <sz val="9"/>
    </font>
    <font>
      <name val="Arial"/>
      <b val="1"/>
      <color rgb="001ABC9C"/>
      <sz val="9"/>
    </font>
    <font>
      <name val="Arial"/>
      <b val="1"/>
      <color rgb="009B59B6"/>
      <sz val="9"/>
    </font>
    <font>
      <name val="Arial"/>
      <b val="1"/>
      <color rgb="00FFFFFF"/>
      <sz val="9"/>
    </font>
    <font>
      <name val="Arial"/>
      <i val="1"/>
      <color rgb="007F8C8D"/>
      <sz val="8"/>
    </font>
    <font>
      <name val="Arial"/>
      <i val="1"/>
      <color rgb="00FFFFFF"/>
      <sz val="8"/>
    </font>
    <font>
      <name val="Arial"/>
      <b val="1"/>
      <color rgb="00FFFFFF"/>
      <sz val="18"/>
    </font>
    <font>
      <name val="Arial"/>
      <color rgb="007F8C8D"/>
      <sz val="9"/>
    </font>
    <font>
      <name val="Arial"/>
      <color rgb="001ABC9C"/>
      <sz val="9"/>
    </font>
    <font>
      <name val="Arial"/>
      <i val="1"/>
      <color rgb="007F8C8D"/>
      <sz val="9"/>
    </font>
    <font>
      <name val="Arial"/>
      <color rgb="009B59B6"/>
      <sz val="9"/>
    </font>
    <font>
      <name val="Arial"/>
      <color rgb="00C9A84C"/>
      <sz val="9"/>
    </font>
  </fonts>
  <fills count="10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0D1B2A"/>
      </patternFill>
    </fill>
    <fill>
      <patternFill patternType="solid">
        <fgColor rgb="001B2A3B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8F8F5"/>
      </patternFill>
    </fill>
    <fill>
      <patternFill patternType="solid">
        <fgColor rgb="00F3E5F5"/>
      </patternFill>
    </fill>
    <fill>
      <patternFill patternType="solid">
        <fgColor rgb="00EEF2F7"/>
      </patternFill>
    </fill>
  </fills>
  <borders count="27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ck">
        <color rgb="001ABC9C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ck">
        <color rgb="001ABC9C"/>
      </left>
      <right style="thin">
        <color rgb="00F9A825"/>
      </right>
      <top style="dashed">
        <color rgb="00F9A825"/>
      </top>
      <bottom style="medium">
        <color rgb="00F9A825"/>
      </bottom>
    </border>
    <border>
      <left style="thick">
        <color rgb="00E74C3C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ck">
        <color rgb="00E74C3C"/>
      </left>
      <right style="thin">
        <color rgb="00F9A825"/>
      </right>
      <top style="dashed">
        <color rgb="00F9A825"/>
      </top>
      <bottom style="medium">
        <color rgb="00F9A825"/>
      </bottom>
    </border>
    <border>
      <left style="thick">
        <color rgb="003498DB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ck">
        <color rgb="003498DB"/>
      </left>
      <right style="thin">
        <color rgb="001ABC9C"/>
      </right>
      <top style="dashed">
        <color rgb="001ABC9C"/>
      </top>
      <bottom style="medium">
        <color rgb="001ABC9C"/>
      </bottom>
    </border>
    <border>
      <left style="thick">
        <color rgb="00C9A84C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ck">
        <color rgb="00C9A84C"/>
      </left>
      <right style="thin">
        <color rgb="001ABC9C"/>
      </right>
      <top style="dashed">
        <color rgb="001ABC9C"/>
      </top>
      <bottom style="medium">
        <color rgb="001ABC9C"/>
      </bottom>
    </border>
    <border>
      <left style="thick">
        <color rgb="00C9A84C"/>
      </left>
      <right style="thin">
        <color rgb="00F9A825"/>
      </right>
      <top style="dashed">
        <color rgb="00F9A825"/>
      </top>
      <bottom style="medium">
        <color rgb="00F9A825"/>
      </bottom>
    </border>
    <border>
      <left style="thick">
        <color rgb="001ABC9C"/>
      </left>
      <right style="thin">
        <color rgb="001ABC9C"/>
      </right>
      <top style="dashed">
        <color rgb="001ABC9C"/>
      </top>
      <bottom style="medium">
        <color rgb="001ABC9C"/>
      </bottom>
    </border>
    <border>
      <left style="thick">
        <color rgb="009B59B6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ck">
        <color rgb="009B59B6"/>
      </left>
      <right style="thin">
        <color rgb="001ABC9C"/>
      </right>
      <top style="dashed">
        <color rgb="001ABC9C"/>
      </top>
      <bottom style="medium">
        <color rgb="001ABC9C"/>
      </bottom>
    </border>
    <border>
      <left style="thick">
        <color rgb="003498DB"/>
      </left>
      <right style="thin">
        <color rgb="00F9A825"/>
      </right>
      <top style="dashed">
        <color rgb="00F9A825"/>
      </top>
      <bottom style="medium">
        <color rgb="00F9A825"/>
      </bottom>
    </border>
    <border>
      <left style="thin">
        <color rgb="001B2A3B"/>
      </left>
      <right style="thin">
        <color rgb="001B2A3B"/>
      </right>
      <bottom style="medium">
        <color rgb="00C9A84C"/>
      </bottom>
    </border>
    <border>
      <left style="medium">
        <color rgb="000D1B2A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1ABC9C"/>
      </left>
      <right style="thin">
        <color rgb="001ABC9C"/>
      </right>
      <top style="thin">
        <color rgb="001ABC9C"/>
      </top>
      <bottom style="thin">
        <color rgb="001ABC9C"/>
      </bottom>
    </border>
    <border>
      <left style="thin">
        <color rgb="00E0E0E0"/>
      </left>
      <right style="medium">
        <color rgb="000D1B2A"/>
      </right>
      <top style="thin">
        <color rgb="00E0E0E0"/>
      </top>
      <bottom style="thin">
        <color rgb="00E0E0E0"/>
      </bottom>
    </border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  <border>
      <left style="medium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  <border>
      <top style="medium">
        <color rgb="00BDC3C7"/>
      </top>
      <bottom style="medium">
        <color rgb="00BDC3C7"/>
      </bottom>
    </border>
    <border>
      <bottom style="medium">
        <color rgb="00C9A84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0" fillId="2" borderId="5" pivotButton="0" quotePrefix="0" xfId="0"/>
    <xf numFmtId="0" fontId="4" fillId="5" borderId="7" applyAlignment="1" pivotButton="0" quotePrefix="0" xfId="0">
      <alignment horizontal="left" vertical="center"/>
    </xf>
    <xf numFmtId="0" fontId="4" fillId="5" borderId="9" applyAlignment="1" pivotButton="0" quotePrefix="0" xfId="0">
      <alignment horizontal="left" vertical="center"/>
    </xf>
    <xf numFmtId="0" fontId="4" fillId="5" borderId="11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3" fontId="5" fillId="5" borderId="7" applyAlignment="1" pivotButton="0" quotePrefix="0" xfId="0">
      <alignment horizontal="center" vertical="center"/>
    </xf>
    <xf numFmtId="3" fontId="5" fillId="5" borderId="9" applyAlignment="1" pivotButton="0" quotePrefix="0" xfId="0">
      <alignment horizontal="center" vertical="center"/>
    </xf>
    <xf numFmtId="164" fontId="5" fillId="5" borderId="1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3" fontId="7" fillId="6" borderId="6" applyAlignment="1" pivotButton="0" quotePrefix="0" xfId="0">
      <alignment horizontal="center" vertical="center"/>
    </xf>
    <xf numFmtId="3" fontId="7" fillId="6" borderId="8" applyAlignment="1" pivotButton="0" quotePrefix="0" xfId="0">
      <alignment horizontal="center" vertical="center"/>
    </xf>
    <xf numFmtId="3" fontId="9" fillId="7" borderId="10" applyAlignment="1" pivotButton="0" quotePrefix="0" xfId="0">
      <alignment horizontal="center" vertical="center"/>
    </xf>
    <xf numFmtId="164" fontId="10" fillId="7" borderId="12" applyAlignment="1" pivotButton="0" quotePrefix="0" xfId="0">
      <alignment horizontal="center" vertical="center"/>
    </xf>
    <xf numFmtId="0" fontId="4" fillId="5" borderId="15" applyAlignment="1" pivotButton="0" quotePrefix="0" xfId="0">
      <alignment horizontal="left" vertical="center"/>
    </xf>
    <xf numFmtId="3" fontId="5" fillId="5" borderId="11" applyAlignment="1" pivotButton="0" quotePrefix="0" xfId="0">
      <alignment horizontal="center" vertical="center"/>
    </xf>
    <xf numFmtId="164" fontId="5" fillId="5" borderId="15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15" applyAlignment="1" pivotButton="0" quotePrefix="0" xfId="0">
      <alignment horizontal="center" vertical="center"/>
    </xf>
    <xf numFmtId="3" fontId="7" fillId="6" borderId="13" applyAlignment="1" pivotButton="0" quotePrefix="0" xfId="0">
      <alignment horizontal="center" vertical="center"/>
    </xf>
    <xf numFmtId="3" fontId="11" fillId="7" borderId="14" applyAlignment="1" pivotButton="0" quotePrefix="0" xfId="0">
      <alignment horizontal="center" vertical="center"/>
    </xf>
    <xf numFmtId="164" fontId="12" fillId="7" borderId="16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3" fontId="7" fillId="6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4" fillId="5" borderId="19" applyAlignment="1" pivotButton="0" quotePrefix="0" xfId="0">
      <alignment horizontal="left" vertical="center"/>
    </xf>
    <xf numFmtId="3" fontId="15" fillId="6" borderId="20" applyAlignment="1" pivotButton="0" quotePrefix="0" xfId="0">
      <alignment horizontal="center" vertical="center"/>
    </xf>
    <xf numFmtId="3" fontId="16" fillId="7" borderId="21" applyAlignment="1" pivotButton="0" quotePrefix="0" xfId="0">
      <alignment horizontal="center" vertical="center"/>
    </xf>
    <xf numFmtId="3" fontId="14" fillId="7" borderId="21" applyAlignment="1" pivotButton="0" quotePrefix="0" xfId="0">
      <alignment horizontal="center" vertical="center"/>
    </xf>
    <xf numFmtId="164" fontId="17" fillId="8" borderId="22" applyAlignment="1" pivotButton="0" quotePrefix="0" xfId="0">
      <alignment horizontal="center" vertical="center"/>
    </xf>
    <xf numFmtId="0" fontId="14" fillId="9" borderId="19" applyAlignment="1" pivotButton="0" quotePrefix="0" xfId="0">
      <alignment horizontal="left" vertical="center"/>
    </xf>
    <xf numFmtId="0" fontId="3" fillId="4" borderId="24" applyAlignment="1" pivotButton="0" quotePrefix="0" xfId="0">
      <alignment horizontal="left" vertical="center"/>
    </xf>
    <xf numFmtId="3" fontId="18" fillId="4" borderId="23" applyAlignment="1" pivotButton="0" quotePrefix="0" xfId="0">
      <alignment horizontal="center" vertical="center"/>
    </xf>
    <xf numFmtId="164" fontId="3" fillId="4" borderId="23" applyAlignment="1" pivotButton="0" quotePrefix="0" xfId="0">
      <alignment horizontal="center" vertical="center"/>
    </xf>
    <xf numFmtId="0" fontId="19" fillId="5" borderId="25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18" fillId="4" borderId="26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4" fillId="5" borderId="2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55" customHeight="1">
      <c r="A2" s="1" t="n"/>
      <c r="B2" s="2" t="inlineStr">
        <is>
          <t>EXECUTIVE PERFORMANCE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2" customHeight="1">
      <c r="A3" s="1" t="n"/>
      <c r="B3" s="3" t="inlineStr">
        <is>
          <t>CONFIDENTIAL  •  FOR CEO REVIEW  •  FY 2025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22" customHeight="1">
      <c r="A5" s="1" t="n"/>
      <c r="B5" s="4" t="inlineStr">
        <is>
          <t xml:space="preserve">  01  |  CUSTOMER METRICS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8" customHeight="1">
      <c r="A6" s="1" t="n"/>
      <c r="B6" s="5" t="inlineStr">
        <is>
          <t xml:space="preserve">  ACTIVE CUSTOMERS</t>
        </is>
      </c>
      <c r="C6" s="6" t="n"/>
      <c r="D6" s="7" t="inlineStr">
        <is>
          <t xml:space="preserve">  INACTIVE CUSTOMERS</t>
        </is>
      </c>
      <c r="E6" s="6" t="n"/>
      <c r="F6" s="8" t="inlineStr">
        <is>
          <t xml:space="preserve">  TOTAL CUSTOMERS</t>
        </is>
      </c>
      <c r="G6" s="6" t="n"/>
      <c r="H6" s="9" t="inlineStr">
        <is>
          <t xml:space="preserve">  RETENTION RATE</t>
        </is>
      </c>
      <c r="I6" s="6" t="n"/>
      <c r="J6" s="1" t="n"/>
      <c r="K6" s="1" t="n"/>
    </row>
    <row r="7" ht="18" customHeight="1">
      <c r="A7" s="1" t="n"/>
      <c r="B7" s="10" t="n"/>
      <c r="C7" s="6" t="n"/>
      <c r="D7" s="11" t="n"/>
      <c r="E7" s="6" t="n"/>
      <c r="F7" s="12">
        <f>IF(C9+E9=0,"",C9+E9)</f>
        <v/>
      </c>
      <c r="G7" s="6" t="n"/>
      <c r="H7" s="13">
        <f>IF(C9+E9=0,"",C9/(C9+E9))</f>
        <v/>
      </c>
      <c r="I7" s="6" t="n"/>
      <c r="J7" s="1" t="n"/>
      <c r="K7" s="1" t="n"/>
    </row>
    <row r="8" ht="18" customHeight="1">
      <c r="A8" s="1" t="n"/>
      <c r="B8" s="14" t="inlineStr">
        <is>
          <t>▼ Enter value below</t>
        </is>
      </c>
      <c r="C8" s="6" t="n"/>
      <c r="D8" s="15" t="inlineStr">
        <is>
          <t>▼ Enter value below</t>
        </is>
      </c>
      <c r="E8" s="6" t="n"/>
      <c r="F8" s="16" t="inlineStr">
        <is>
          <t>Auto-Calculated  ✓</t>
        </is>
      </c>
      <c r="G8" s="6" t="n"/>
      <c r="H8" s="17" t="inlineStr">
        <is>
          <t>Auto-Calculated  ✓</t>
        </is>
      </c>
      <c r="I8" s="6" t="n"/>
      <c r="J8" s="1" t="n"/>
      <c r="K8" s="1" t="n"/>
    </row>
    <row r="9" ht="18" customHeight="1">
      <c r="A9" s="1" t="n"/>
      <c r="B9" s="18" t="n"/>
      <c r="C9" s="6" t="n"/>
      <c r="D9" s="19" t="n"/>
      <c r="E9" s="6" t="n"/>
      <c r="F9" s="20">
        <f>IF(C9+E9=0,"",C9+E9)</f>
        <v/>
      </c>
      <c r="G9" s="6" t="n"/>
      <c r="H9" s="21">
        <f>IF(C9+E9=0,"",C9/(C9+E9))</f>
        <v/>
      </c>
      <c r="I9" s="6" t="n"/>
      <c r="J9" s="1" t="n"/>
      <c r="K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22" customHeight="1">
      <c r="A11" s="1" t="n"/>
      <c r="B11" s="4" t="inlineStr">
        <is>
          <t xml:space="preserve">  02  |  REVENUE METRICS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8" customHeight="1">
      <c r="A12" s="1" t="n"/>
      <c r="B12" s="9" t="inlineStr">
        <is>
          <t xml:space="preserve">  TOTAL REVENUE ($)</t>
        </is>
      </c>
      <c r="C12" s="6" t="n"/>
      <c r="D12" s="7" t="inlineStr">
        <is>
          <t xml:space="preserve">  COST OF GOODS SOLD ($)</t>
        </is>
      </c>
      <c r="E12" s="6" t="n"/>
      <c r="F12" s="5" t="inlineStr">
        <is>
          <t xml:space="preserve">  GROSS PROFIT ($)</t>
        </is>
      </c>
      <c r="G12" s="6" t="n"/>
      <c r="H12" s="22" t="inlineStr">
        <is>
          <t xml:space="preserve">  GROSS MARGIN (%)</t>
        </is>
      </c>
      <c r="I12" s="6" t="n"/>
      <c r="J12" s="1" t="n"/>
      <c r="K12" s="1" t="n"/>
    </row>
    <row r="13" ht="18" customHeight="1">
      <c r="A13" s="1" t="n"/>
      <c r="B13" s="23" t="n"/>
      <c r="C13" s="6" t="n"/>
      <c r="D13" s="11" t="n"/>
      <c r="E13" s="6" t="n"/>
      <c r="F13" s="10">
        <f>IF(C15+E15=0,"",C15-E15)</f>
        <v/>
      </c>
      <c r="G13" s="6" t="n"/>
      <c r="H13" s="24">
        <f>IF(C15=0,"",((C15-E15)/C15))</f>
        <v/>
      </c>
      <c r="I13" s="6" t="n"/>
      <c r="J13" s="1" t="n"/>
      <c r="K13" s="1" t="n"/>
    </row>
    <row r="14" ht="18" customHeight="1">
      <c r="A14" s="1" t="n"/>
      <c r="B14" s="25" t="inlineStr">
        <is>
          <t>▼ Enter value below</t>
        </is>
      </c>
      <c r="C14" s="6" t="n"/>
      <c r="D14" s="15" t="inlineStr">
        <is>
          <t>▼ Enter value below</t>
        </is>
      </c>
      <c r="E14" s="6" t="n"/>
      <c r="F14" s="26" t="inlineStr">
        <is>
          <t>Auto-Calculated  ✓</t>
        </is>
      </c>
      <c r="G14" s="6" t="n"/>
      <c r="H14" s="27" t="inlineStr">
        <is>
          <t>Auto-Calculated  ✓</t>
        </is>
      </c>
      <c r="I14" s="6" t="n"/>
      <c r="J14" s="1" t="n"/>
      <c r="K14" s="1" t="n"/>
    </row>
    <row r="15" ht="18" customHeight="1">
      <c r="A15" s="1" t="n"/>
      <c r="B15" s="28" t="n"/>
      <c r="C15" s="6" t="n"/>
      <c r="D15" s="19" t="n"/>
      <c r="E15" s="6" t="n"/>
      <c r="F15" s="29">
        <f>IF(C15+E15=0,"",C15-E15)</f>
        <v/>
      </c>
      <c r="G15" s="6" t="n"/>
      <c r="H15" s="30">
        <f>IF(C15=0,"",((C15-E15)/C15))</f>
        <v/>
      </c>
      <c r="I15" s="6" t="n"/>
      <c r="J15" s="1" t="n"/>
      <c r="K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22" customHeight="1">
      <c r="A17" s="1" t="n"/>
      <c r="B17" s="4" t="inlineStr">
        <is>
          <t xml:space="preserve">  03  |  OPERATIONAL METRICS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8" customHeight="1">
      <c r="A18" s="1" t="n"/>
      <c r="B18" s="8" t="inlineStr">
        <is>
          <t xml:space="preserve">  NEW LEADS</t>
        </is>
      </c>
      <c r="C18" s="6" t="n"/>
      <c r="D18" s="5" t="inlineStr">
        <is>
          <t xml:space="preserve">  CONVERSIONS</t>
        </is>
      </c>
      <c r="E18" s="6" t="n"/>
      <c r="F18" s="9" t="inlineStr">
        <is>
          <t xml:space="preserve">  CONVERSION RATE (%)</t>
        </is>
      </c>
      <c r="G18" s="6" t="n"/>
      <c r="H18" s="7" t="inlineStr">
        <is>
          <t xml:space="preserve">  OPEN SUPPORT TICKETS</t>
        </is>
      </c>
      <c r="I18" s="6" t="n"/>
      <c r="J18" s="1" t="n"/>
      <c r="K18" s="1" t="n"/>
    </row>
    <row r="19" ht="18" customHeight="1">
      <c r="A19" s="1" t="n"/>
      <c r="B19" s="12" t="n"/>
      <c r="C19" s="6" t="n"/>
      <c r="D19" s="10" t="n"/>
      <c r="E19" s="6" t="n"/>
      <c r="F19" s="13">
        <f>IF(C21=0,"",E21/C21)</f>
        <v/>
      </c>
      <c r="G19" s="6" t="n"/>
      <c r="H19" s="11" t="n"/>
      <c r="I19" s="6" t="n"/>
      <c r="J19" s="1" t="n"/>
      <c r="K19" s="1" t="n"/>
    </row>
    <row r="20" ht="18" customHeight="1">
      <c r="A20" s="1" t="n"/>
      <c r="B20" s="31" t="inlineStr">
        <is>
          <t>▼ Enter value below</t>
        </is>
      </c>
      <c r="C20" s="6" t="n"/>
      <c r="D20" s="14" t="inlineStr">
        <is>
          <t>▼ Enter value below</t>
        </is>
      </c>
      <c r="E20" s="6" t="n"/>
      <c r="F20" s="17" t="inlineStr">
        <is>
          <t>Auto-Calculated  ✓</t>
        </is>
      </c>
      <c r="G20" s="6" t="n"/>
      <c r="H20" s="15" t="inlineStr">
        <is>
          <t>▼ Enter value below</t>
        </is>
      </c>
      <c r="I20" s="6" t="n"/>
      <c r="J20" s="1" t="n"/>
      <c r="K20" s="1" t="n"/>
    </row>
    <row r="21" ht="18" customHeight="1">
      <c r="A21" s="1" t="n"/>
      <c r="B21" s="32" t="n"/>
      <c r="C21" s="6" t="n"/>
      <c r="D21" s="18" t="n"/>
      <c r="E21" s="6" t="n"/>
      <c r="F21" s="21">
        <f>IF(C21=0,"",E21/C21)</f>
        <v/>
      </c>
      <c r="G21" s="6" t="n"/>
      <c r="H21" s="19" t="n"/>
      <c r="I21" s="6" t="n"/>
      <c r="J21" s="1" t="n"/>
      <c r="K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2" customHeight="1">
      <c r="A23" s="1" t="n"/>
      <c r="B23" s="4" t="inlineStr">
        <is>
          <t xml:space="preserve">  04  |  FINANCIAL HEALTH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8" customHeight="1">
      <c r="A24" s="1" t="n"/>
      <c r="B24" s="7" t="inlineStr">
        <is>
          <t xml:space="preserve">  OPERATING EXPENSES ($)</t>
        </is>
      </c>
      <c r="C24" s="6" t="n"/>
      <c r="D24" s="5" t="inlineStr">
        <is>
          <t xml:space="preserve">  NET PROFIT ($)</t>
        </is>
      </c>
      <c r="E24" s="6" t="n"/>
      <c r="F24" s="22" t="inlineStr">
        <is>
          <t xml:space="preserve">  NET PROFIT MARGIN (%)</t>
        </is>
      </c>
      <c r="G24" s="6" t="n"/>
      <c r="H24" s="9" t="inlineStr">
        <is>
          <t xml:space="preserve">  CASH BALANCE ($)</t>
        </is>
      </c>
      <c r="I24" s="6" t="n"/>
      <c r="J24" s="1" t="n"/>
      <c r="K24" s="1" t="n"/>
    </row>
    <row r="25" ht="18" customHeight="1">
      <c r="A25" s="1" t="n"/>
      <c r="B25" s="11" t="n"/>
      <c r="C25" s="6" t="n"/>
      <c r="D25" s="10" t="n"/>
      <c r="E25" s="6" t="n"/>
      <c r="F25" s="24">
        <f>IF(C15=0,"",E27/(C15))</f>
        <v/>
      </c>
      <c r="G25" s="6" t="n"/>
      <c r="H25" s="23" t="n"/>
      <c r="I25" s="6" t="n"/>
      <c r="J25" s="1" t="n"/>
      <c r="K25" s="1" t="n"/>
    </row>
    <row r="26" ht="18" customHeight="1">
      <c r="A26" s="1" t="n"/>
      <c r="B26" s="15" t="inlineStr">
        <is>
          <t>▼ Enter value below</t>
        </is>
      </c>
      <c r="C26" s="6" t="n"/>
      <c r="D26" s="14" t="inlineStr">
        <is>
          <t>▼ Enter value below</t>
        </is>
      </c>
      <c r="E26" s="6" t="n"/>
      <c r="F26" s="27" t="inlineStr">
        <is>
          <t>Auto-Calculated  ✓</t>
        </is>
      </c>
      <c r="G26" s="6" t="n"/>
      <c r="H26" s="25" t="inlineStr">
        <is>
          <t>▼ Enter value below</t>
        </is>
      </c>
      <c r="I26" s="6" t="n"/>
      <c r="J26" s="1" t="n"/>
      <c r="K26" s="1" t="n"/>
    </row>
    <row r="27" ht="18" customHeight="1">
      <c r="A27" s="1" t="n"/>
      <c r="B27" s="19" t="n"/>
      <c r="C27" s="6" t="n"/>
      <c r="D27" s="18" t="n"/>
      <c r="E27" s="6" t="n"/>
      <c r="F27" s="30">
        <f>IF(C15=0,"",E27/(C15))</f>
        <v/>
      </c>
      <c r="G27" s="6" t="n"/>
      <c r="H27" s="28" t="n"/>
      <c r="I27" s="6" t="n"/>
      <c r="J27" s="1" t="n"/>
      <c r="K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22" customHeight="1">
      <c r="A29" s="1" t="n"/>
      <c r="B29" s="4" t="inlineStr">
        <is>
          <t xml:space="preserve">  05  |  MONTHLY PERFORMANCE TRACKER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24" customHeight="1">
      <c r="A30" s="1" t="n"/>
      <c r="B30" s="33" t="inlineStr">
        <is>
          <t>MONTH</t>
        </is>
      </c>
      <c r="C30" s="33" t="inlineStr">
        <is>
          <t>ACTIVE</t>
        </is>
      </c>
      <c r="D30" s="33" t="inlineStr">
        <is>
          <t>INACTIVE</t>
        </is>
      </c>
      <c r="E30" s="33" t="inlineStr">
        <is>
          <t>TOTAL</t>
        </is>
      </c>
      <c r="F30" s="33" t="inlineStr">
        <is>
          <t>REVENUE ($)</t>
        </is>
      </c>
      <c r="G30" s="33" t="inlineStr">
        <is>
          <t>EXPENSES ($)</t>
        </is>
      </c>
      <c r="H30" s="33" t="inlineStr">
        <is>
          <t>NET PROFIT ($)</t>
        </is>
      </c>
      <c r="I30" s="33" t="inlineStr">
        <is>
          <t>MARGIN %</t>
        </is>
      </c>
      <c r="J30" s="1" t="n"/>
      <c r="K30" s="1" t="n"/>
    </row>
    <row r="31" ht="20" customHeight="1">
      <c r="A31" s="1" t="n"/>
      <c r="B31" s="34" t="inlineStr">
        <is>
          <t>January</t>
        </is>
      </c>
      <c r="C31" s="35" t="n"/>
      <c r="D31" s="35" t="n"/>
      <c r="E31" s="36">
        <f>IF(C31+D31=0,"",C31+D31)</f>
        <v/>
      </c>
      <c r="F31" s="35" t="n"/>
      <c r="G31" s="35" t="n"/>
      <c r="H31" s="37">
        <f>IF(F31+G31=0,"",F31-G31)</f>
        <v/>
      </c>
      <c r="I31" s="38">
        <f>IF(F31=0,"",H31/F31)</f>
        <v/>
      </c>
      <c r="J31" s="1" t="n"/>
      <c r="K31" s="1" t="n"/>
    </row>
    <row r="32" ht="20" customHeight="1">
      <c r="A32" s="1" t="n"/>
      <c r="B32" s="39" t="inlineStr">
        <is>
          <t>February</t>
        </is>
      </c>
      <c r="C32" s="35" t="n"/>
      <c r="D32" s="35" t="n"/>
      <c r="E32" s="36">
        <f>IF(C32+D32=0,"",C32+D32)</f>
        <v/>
      </c>
      <c r="F32" s="35" t="n"/>
      <c r="G32" s="35" t="n"/>
      <c r="H32" s="37">
        <f>IF(F32+G32=0,"",F32-G32)</f>
        <v/>
      </c>
      <c r="I32" s="38">
        <f>IF(F32=0,"",H32/F32)</f>
        <v/>
      </c>
      <c r="J32" s="1" t="n"/>
      <c r="K32" s="1" t="n"/>
    </row>
    <row r="33" ht="20" customHeight="1">
      <c r="A33" s="1" t="n"/>
      <c r="B33" s="34" t="inlineStr">
        <is>
          <t>March</t>
        </is>
      </c>
      <c r="C33" s="35" t="n"/>
      <c r="D33" s="35" t="n"/>
      <c r="E33" s="36">
        <f>IF(C33+D33=0,"",C33+D33)</f>
        <v/>
      </c>
      <c r="F33" s="35" t="n"/>
      <c r="G33" s="35" t="n"/>
      <c r="H33" s="37">
        <f>IF(F33+G33=0,"",F33-G33)</f>
        <v/>
      </c>
      <c r="I33" s="38">
        <f>IF(F33=0,"",H33/F33)</f>
        <v/>
      </c>
      <c r="J33" s="1" t="n"/>
      <c r="K33" s="1" t="n"/>
    </row>
    <row r="34" ht="20" customHeight="1">
      <c r="A34" s="1" t="n"/>
      <c r="B34" s="39" t="inlineStr">
        <is>
          <t>April</t>
        </is>
      </c>
      <c r="C34" s="35" t="n"/>
      <c r="D34" s="35" t="n"/>
      <c r="E34" s="36">
        <f>IF(C34+D34=0,"",C34+D34)</f>
        <v/>
      </c>
      <c r="F34" s="35" t="n"/>
      <c r="G34" s="35" t="n"/>
      <c r="H34" s="37">
        <f>IF(F34+G34=0,"",F34-G34)</f>
        <v/>
      </c>
      <c r="I34" s="38">
        <f>IF(F34=0,"",H34/F34)</f>
        <v/>
      </c>
      <c r="J34" s="1" t="n"/>
      <c r="K34" s="1" t="n"/>
    </row>
    <row r="35" ht="20" customHeight="1">
      <c r="A35" s="1" t="n"/>
      <c r="B35" s="34" t="inlineStr">
        <is>
          <t>May</t>
        </is>
      </c>
      <c r="C35" s="35" t="n"/>
      <c r="D35" s="35" t="n"/>
      <c r="E35" s="36">
        <f>IF(C35+D35=0,"",C35+D35)</f>
        <v/>
      </c>
      <c r="F35" s="35" t="n"/>
      <c r="G35" s="35" t="n"/>
      <c r="H35" s="37">
        <f>IF(F35+G35=0,"",F35-G35)</f>
        <v/>
      </c>
      <c r="I35" s="38">
        <f>IF(F35=0,"",H35/F35)</f>
        <v/>
      </c>
      <c r="J35" s="1" t="n"/>
      <c r="K35" s="1" t="n"/>
    </row>
    <row r="36" ht="20" customHeight="1">
      <c r="A36" s="1" t="n"/>
      <c r="B36" s="39" t="inlineStr">
        <is>
          <t>June</t>
        </is>
      </c>
      <c r="C36" s="35" t="n"/>
      <c r="D36" s="35" t="n"/>
      <c r="E36" s="36">
        <f>IF(C36+D36=0,"",C36+D36)</f>
        <v/>
      </c>
      <c r="F36" s="35" t="n"/>
      <c r="G36" s="35" t="n"/>
      <c r="H36" s="37">
        <f>IF(F36+G36=0,"",F36-G36)</f>
        <v/>
      </c>
      <c r="I36" s="38">
        <f>IF(F36=0,"",H36/F36)</f>
        <v/>
      </c>
      <c r="J36" s="1" t="n"/>
      <c r="K36" s="1" t="n"/>
    </row>
    <row r="37" ht="20" customHeight="1">
      <c r="A37" s="1" t="n"/>
      <c r="B37" s="34" t="inlineStr">
        <is>
          <t>July</t>
        </is>
      </c>
      <c r="C37" s="35" t="n"/>
      <c r="D37" s="35" t="n"/>
      <c r="E37" s="36">
        <f>IF(C37+D37=0,"",C37+D37)</f>
        <v/>
      </c>
      <c r="F37" s="35" t="n"/>
      <c r="G37" s="35" t="n"/>
      <c r="H37" s="37">
        <f>IF(F37+G37=0,"",F37-G37)</f>
        <v/>
      </c>
      <c r="I37" s="38">
        <f>IF(F37=0,"",H37/F37)</f>
        <v/>
      </c>
      <c r="J37" s="1" t="n"/>
      <c r="K37" s="1" t="n"/>
    </row>
    <row r="38" ht="20" customHeight="1">
      <c r="A38" s="1" t="n"/>
      <c r="B38" s="39" t="inlineStr">
        <is>
          <t>August</t>
        </is>
      </c>
      <c r="C38" s="35" t="n"/>
      <c r="D38" s="35" t="n"/>
      <c r="E38" s="36">
        <f>IF(C38+D38=0,"",C38+D38)</f>
        <v/>
      </c>
      <c r="F38" s="35" t="n"/>
      <c r="G38" s="35" t="n"/>
      <c r="H38" s="37">
        <f>IF(F38+G38=0,"",F38-G38)</f>
        <v/>
      </c>
      <c r="I38" s="38">
        <f>IF(F38=0,"",H38/F38)</f>
        <v/>
      </c>
      <c r="J38" s="1" t="n"/>
      <c r="K38" s="1" t="n"/>
    </row>
    <row r="39" ht="20" customHeight="1">
      <c r="A39" s="1" t="n"/>
      <c r="B39" s="34" t="inlineStr">
        <is>
          <t>September</t>
        </is>
      </c>
      <c r="C39" s="35" t="n"/>
      <c r="D39" s="35" t="n"/>
      <c r="E39" s="36">
        <f>IF(C39+D39=0,"",C39+D39)</f>
        <v/>
      </c>
      <c r="F39" s="35" t="n"/>
      <c r="G39" s="35" t="n"/>
      <c r="H39" s="37">
        <f>IF(F39+G39=0,"",F39-G39)</f>
        <v/>
      </c>
      <c r="I39" s="38">
        <f>IF(F39=0,"",H39/F39)</f>
        <v/>
      </c>
      <c r="J39" s="1" t="n"/>
      <c r="K39" s="1" t="n"/>
    </row>
    <row r="40" ht="20" customHeight="1">
      <c r="A40" s="1" t="n"/>
      <c r="B40" s="39" t="inlineStr">
        <is>
          <t>October</t>
        </is>
      </c>
      <c r="C40" s="35" t="n"/>
      <c r="D40" s="35" t="n"/>
      <c r="E40" s="36">
        <f>IF(C40+D40=0,"",C40+D40)</f>
        <v/>
      </c>
      <c r="F40" s="35" t="n"/>
      <c r="G40" s="35" t="n"/>
      <c r="H40" s="37">
        <f>IF(F40+G40=0,"",F40-G40)</f>
        <v/>
      </c>
      <c r="I40" s="38">
        <f>IF(F40=0,"",H40/F40)</f>
        <v/>
      </c>
      <c r="J40" s="1" t="n"/>
      <c r="K40" s="1" t="n"/>
    </row>
    <row r="41" ht="20" customHeight="1">
      <c r="A41" s="1" t="n"/>
      <c r="B41" s="34" t="inlineStr">
        <is>
          <t>November</t>
        </is>
      </c>
      <c r="C41" s="35" t="n"/>
      <c r="D41" s="35" t="n"/>
      <c r="E41" s="36">
        <f>IF(C41+D41=0,"",C41+D41)</f>
        <v/>
      </c>
      <c r="F41" s="35" t="n"/>
      <c r="G41" s="35" t="n"/>
      <c r="H41" s="37">
        <f>IF(F41+G41=0,"",F41-G41)</f>
        <v/>
      </c>
      <c r="I41" s="38">
        <f>IF(F41=0,"",H41/F41)</f>
        <v/>
      </c>
      <c r="J41" s="1" t="n"/>
      <c r="K41" s="1" t="n"/>
    </row>
    <row r="42" ht="20" customHeight="1">
      <c r="A42" s="1" t="n"/>
      <c r="B42" s="39" t="inlineStr">
        <is>
          <t>December</t>
        </is>
      </c>
      <c r="C42" s="35" t="n"/>
      <c r="D42" s="35" t="n"/>
      <c r="E42" s="36">
        <f>IF(C42+D42=0,"",C42+D42)</f>
        <v/>
      </c>
      <c r="F42" s="35" t="n"/>
      <c r="G42" s="35" t="n"/>
      <c r="H42" s="37">
        <f>IF(F42+G42=0,"",F42-G42)</f>
        <v/>
      </c>
      <c r="I42" s="38">
        <f>IF(F42=0,"",H42/F42)</f>
        <v/>
      </c>
      <c r="J42" s="1" t="n"/>
      <c r="K42" s="1" t="n"/>
    </row>
    <row r="43" ht="22" customHeight="1">
      <c r="A43" s="1" t="n"/>
      <c r="B43" s="40" t="inlineStr">
        <is>
          <t>ANNUAL TOTALS</t>
        </is>
      </c>
      <c r="C43" s="41">
        <f>SUM(C31:C42)</f>
        <v/>
      </c>
      <c r="D43" s="41">
        <f>SUM(D31:D42)</f>
        <v/>
      </c>
      <c r="E43" s="41">
        <f>SUM(E31:E42)</f>
        <v/>
      </c>
      <c r="F43" s="41">
        <f>SUM(F31:F42)</f>
        <v/>
      </c>
      <c r="G43" s="41">
        <f>SUM(G31:G42)</f>
        <v/>
      </c>
      <c r="H43" s="41">
        <f>SUM(H31:H42)</f>
        <v/>
      </c>
      <c r="I43" s="42">
        <f>IF(F43=0,"",H43/F43)</f>
        <v/>
      </c>
      <c r="J43" s="1" t="n"/>
      <c r="K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22" customHeight="1">
      <c r="A46" s="1" t="n"/>
      <c r="B46" s="43" t="inlineStr">
        <is>
          <t xml:space="preserve">  🟡 Yellow = Enter your figures     🟢 Green = Auto-calculated     🟣 Purple = Auto-calculated %     |  Active + Inactive = Total  |  Revenue – COGS = Gross Profit  |  Net Profit ÷ Revenue = Margin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22" customHeight="1">
      <c r="A49" s="1" t="n"/>
      <c r="B49" s="44" t="inlineStr">
        <is>
          <t>CONFIDENTIAL  —  This document is prepared exclusively for executive review. Distribution requires written authorization.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</sheetData>
  <mergeCells count="73">
    <mergeCell ref="D20:E20"/>
    <mergeCell ref="B11:J11"/>
    <mergeCell ref="H20:I20"/>
    <mergeCell ref="B7:C7"/>
    <mergeCell ref="B25:C25"/>
    <mergeCell ref="D19:E19"/>
    <mergeCell ref="F19:G19"/>
    <mergeCell ref="F25:G25"/>
    <mergeCell ref="H27:I27"/>
    <mergeCell ref="B17:J17"/>
    <mergeCell ref="B23:J23"/>
    <mergeCell ref="F6:G6"/>
    <mergeCell ref="B18:C18"/>
    <mergeCell ref="B27:C27"/>
    <mergeCell ref="H9:I9"/>
    <mergeCell ref="F7:G7"/>
    <mergeCell ref="B12:C12"/>
    <mergeCell ref="D21:E21"/>
    <mergeCell ref="D6:E6"/>
    <mergeCell ref="F21:G21"/>
    <mergeCell ref="B21:C21"/>
    <mergeCell ref="F12:G12"/>
    <mergeCell ref="H21:I21"/>
    <mergeCell ref="H6:I6"/>
    <mergeCell ref="F24:G24"/>
    <mergeCell ref="F15:G15"/>
    <mergeCell ref="H25:I25"/>
    <mergeCell ref="B29:J29"/>
    <mergeCell ref="D13:E13"/>
    <mergeCell ref="D27:E27"/>
    <mergeCell ref="F20:G20"/>
    <mergeCell ref="F18:G18"/>
    <mergeCell ref="B14:C14"/>
    <mergeCell ref="B49:J49"/>
    <mergeCell ref="F26:G26"/>
    <mergeCell ref="B8:C8"/>
    <mergeCell ref="F8:G8"/>
    <mergeCell ref="B13:C13"/>
    <mergeCell ref="B5:J5"/>
    <mergeCell ref="D7:E7"/>
    <mergeCell ref="H7:I7"/>
    <mergeCell ref="B19:C19"/>
    <mergeCell ref="H19:I19"/>
    <mergeCell ref="F13:G13"/>
    <mergeCell ref="B9:C9"/>
    <mergeCell ref="D18:E18"/>
    <mergeCell ref="D9:E9"/>
    <mergeCell ref="H13:I13"/>
    <mergeCell ref="H14:I14"/>
    <mergeCell ref="F9:G9"/>
    <mergeCell ref="D12:E12"/>
    <mergeCell ref="F27:G27"/>
    <mergeCell ref="D8:E8"/>
    <mergeCell ref="D25:E25"/>
    <mergeCell ref="B6:C6"/>
    <mergeCell ref="H12:I12"/>
    <mergeCell ref="B3:J3"/>
    <mergeCell ref="B24:C24"/>
    <mergeCell ref="B15:C15"/>
    <mergeCell ref="B26:C26"/>
    <mergeCell ref="D24:E24"/>
    <mergeCell ref="D15:E15"/>
    <mergeCell ref="B46:J46"/>
    <mergeCell ref="H24:I24"/>
    <mergeCell ref="B20:C20"/>
    <mergeCell ref="H15:I15"/>
    <mergeCell ref="H18:I18"/>
    <mergeCell ref="D14:E14"/>
    <mergeCell ref="F14:G14"/>
    <mergeCell ref="H8:I8"/>
    <mergeCell ref="D26:E26"/>
    <mergeCell ref="B2:J2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22" customWidth="1" min="3" max="3"/>
    <col width="50" customWidth="1" min="4" max="4"/>
  </cols>
  <sheetData>
    <row r="1" ht="45" customHeight="1">
      <c r="A1" s="1" t="n"/>
      <c r="B1" s="45" t="inlineStr">
        <is>
          <t>DATA INPUT REFERENCE GUIDE</t>
        </is>
      </c>
      <c r="E1" s="1" t="n"/>
    </row>
    <row r="2" ht="8" customHeight="1">
      <c r="A2" s="1" t="n"/>
      <c r="B2" s="1" t="n"/>
      <c r="C2" s="1" t="n"/>
      <c r="D2" s="1" t="n"/>
      <c r="E2" s="1" t="n"/>
    </row>
    <row r="3" ht="22" customHeight="1">
      <c r="A3" s="1" t="n"/>
      <c r="B3" s="46" t="inlineStr">
        <is>
          <t>METRIC</t>
        </is>
      </c>
      <c r="C3" s="46" t="inlineStr">
        <is>
          <t>DASHBOARD CELL</t>
        </is>
      </c>
      <c r="D3" s="46" t="inlineStr">
        <is>
          <t>DESCRIPTION</t>
        </is>
      </c>
      <c r="E3" s="1" t="n"/>
    </row>
    <row r="4" ht="19" customHeight="1">
      <c r="A4" s="1" t="n"/>
      <c r="B4" s="47" t="inlineStr">
        <is>
          <t>✏️  Active Customers</t>
        </is>
      </c>
      <c r="C4" s="48" t="inlineStr">
        <is>
          <t>Row 6–9, Col B–C</t>
        </is>
      </c>
      <c r="D4" s="49" t="inlineStr">
        <is>
          <t>Enter count of currently active customers</t>
        </is>
      </c>
      <c r="E4" s="1" t="n"/>
    </row>
    <row r="5" ht="19" customHeight="1">
      <c r="A5" s="1" t="n"/>
      <c r="B5" s="47" t="inlineStr">
        <is>
          <t>✏️  Inactive Customers</t>
        </is>
      </c>
      <c r="C5" s="48" t="inlineStr">
        <is>
          <t>Row 6–9, Col D–E</t>
        </is>
      </c>
      <c r="D5" s="49" t="inlineStr">
        <is>
          <t>Enter count of churned / dormant customers</t>
        </is>
      </c>
      <c r="E5" s="1" t="n"/>
    </row>
    <row r="6" ht="19" customHeight="1">
      <c r="A6" s="1" t="n"/>
      <c r="B6" s="50" t="inlineStr">
        <is>
          <t>🔒 Total Customers</t>
        </is>
      </c>
      <c r="C6" s="51" t="inlineStr">
        <is>
          <t>Row 6–9, Col F–G</t>
        </is>
      </c>
      <c r="D6" s="52" t="inlineStr">
        <is>
          <t>AUTO — Active + Inactive</t>
        </is>
      </c>
      <c r="E6" s="1" t="n"/>
    </row>
    <row r="7" ht="19" customHeight="1">
      <c r="A7" s="1" t="n"/>
      <c r="B7" s="50" t="inlineStr">
        <is>
          <t>🔒 Retention Rate</t>
        </is>
      </c>
      <c r="C7" s="51" t="inlineStr">
        <is>
          <t>Row 6–9, Col H–I</t>
        </is>
      </c>
      <c r="D7" s="52" t="inlineStr">
        <is>
          <t>AUTO — Active ÷ Total Customers</t>
        </is>
      </c>
      <c r="E7" s="1" t="n"/>
    </row>
    <row r="8" ht="19" customHeight="1">
      <c r="A8" s="1" t="n"/>
      <c r="B8" s="47" t="inlineStr">
        <is>
          <t>✏️  Total Revenue ($)</t>
        </is>
      </c>
      <c r="C8" s="48" t="inlineStr">
        <is>
          <t>Row 12–15, Col B–C</t>
        </is>
      </c>
      <c r="D8" s="49" t="inlineStr">
        <is>
          <t>Enter gross revenue for the period</t>
        </is>
      </c>
      <c r="E8" s="1" t="n"/>
    </row>
    <row r="9" ht="19" customHeight="1">
      <c r="A9" s="1" t="n"/>
      <c r="B9" s="47" t="inlineStr">
        <is>
          <t>✏️  Cost of Goods Sold ($)</t>
        </is>
      </c>
      <c r="C9" s="48" t="inlineStr">
        <is>
          <t>Row 12–15, Col D–E</t>
        </is>
      </c>
      <c r="D9" s="49" t="inlineStr">
        <is>
          <t>Enter direct costs attributable to revenue</t>
        </is>
      </c>
      <c r="E9" s="1" t="n"/>
    </row>
    <row r="10" ht="19" customHeight="1">
      <c r="A10" s="1" t="n"/>
      <c r="B10" s="50" t="inlineStr">
        <is>
          <t>🔒 Gross Profit ($)</t>
        </is>
      </c>
      <c r="C10" s="51" t="inlineStr">
        <is>
          <t>Row 12–15, Col F–G</t>
        </is>
      </c>
      <c r="D10" s="52" t="inlineStr">
        <is>
          <t>AUTO — Revenue − COGS</t>
        </is>
      </c>
      <c r="E10" s="1" t="n"/>
    </row>
    <row r="11" ht="19" customHeight="1">
      <c r="A11" s="1" t="n"/>
      <c r="B11" s="53" t="inlineStr">
        <is>
          <t>🔒 Gross Margin (%)</t>
        </is>
      </c>
      <c r="C11" s="54" t="inlineStr">
        <is>
          <t>Row 12–15, Col H–I</t>
        </is>
      </c>
      <c r="D11" s="55" t="inlineStr">
        <is>
          <t>AUTO — Gross Profit ÷ Revenue</t>
        </is>
      </c>
      <c r="E11" s="1" t="n"/>
    </row>
    <row r="12" ht="19" customHeight="1">
      <c r="A12" s="1" t="n"/>
      <c r="B12" s="47" t="inlineStr">
        <is>
          <t>✏️  New Leads</t>
        </is>
      </c>
      <c r="C12" s="48" t="inlineStr">
        <is>
          <t>Row 18–21, Col B–C</t>
        </is>
      </c>
      <c r="D12" s="49" t="inlineStr">
        <is>
          <t>Total new leads generated in the period</t>
        </is>
      </c>
      <c r="E12" s="1" t="n"/>
    </row>
    <row r="13" ht="19" customHeight="1">
      <c r="A13" s="1" t="n"/>
      <c r="B13" s="47" t="inlineStr">
        <is>
          <t>✏️  Conversions</t>
        </is>
      </c>
      <c r="C13" s="48" t="inlineStr">
        <is>
          <t>Row 18–21, Col D–E</t>
        </is>
      </c>
      <c r="D13" s="49" t="inlineStr">
        <is>
          <t>Leads that converted to paying customers</t>
        </is>
      </c>
      <c r="E13" s="1" t="n"/>
    </row>
    <row r="14" ht="19" customHeight="1">
      <c r="A14" s="1" t="n"/>
      <c r="B14" s="56" t="inlineStr">
        <is>
          <t>🔒 Conversion Rate (%)</t>
        </is>
      </c>
      <c r="C14" s="57" t="inlineStr">
        <is>
          <t>Row 18–21, Col F–G</t>
        </is>
      </c>
      <c r="D14" s="52" t="inlineStr">
        <is>
          <t>AUTO — Conversions ÷ New Leads</t>
        </is>
      </c>
      <c r="E14" s="1" t="n"/>
    </row>
    <row r="15" ht="19" customHeight="1">
      <c r="A15" s="1" t="n"/>
      <c r="B15" s="47" t="inlineStr">
        <is>
          <t>✏️  Open Support Tickets</t>
        </is>
      </c>
      <c r="C15" s="48" t="inlineStr">
        <is>
          <t>Row 18–21, Col H–I</t>
        </is>
      </c>
      <c r="D15" s="49" t="inlineStr">
        <is>
          <t>Count of unresolved customer support tickets</t>
        </is>
      </c>
      <c r="E15" s="1" t="n"/>
    </row>
    <row r="16" ht="19" customHeight="1">
      <c r="A16" s="1" t="n"/>
      <c r="B16" s="47" t="inlineStr">
        <is>
          <t>✏️  Operating Expenses ($)</t>
        </is>
      </c>
      <c r="C16" s="48" t="inlineStr">
        <is>
          <t>Row 24–27, Col B–C</t>
        </is>
      </c>
      <c r="D16" s="49" t="inlineStr">
        <is>
          <t>Total operating costs excluding COGS</t>
        </is>
      </c>
      <c r="E16" s="1" t="n"/>
    </row>
    <row r="17" ht="19" customHeight="1">
      <c r="A17" s="1" t="n"/>
      <c r="B17" s="47" t="inlineStr">
        <is>
          <t>✏️  Net Profit ($)</t>
        </is>
      </c>
      <c r="C17" s="48" t="inlineStr">
        <is>
          <t>Row 24–27, Col D–E</t>
        </is>
      </c>
      <c r="D17" s="49" t="inlineStr">
        <is>
          <t>Enter net profit after all costs</t>
        </is>
      </c>
      <c r="E17" s="1" t="n"/>
    </row>
    <row r="18" ht="19" customHeight="1">
      <c r="A18" s="1" t="n"/>
      <c r="B18" s="53" t="inlineStr">
        <is>
          <t>🔒 Net Profit Margin (%)</t>
        </is>
      </c>
      <c r="C18" s="54" t="inlineStr">
        <is>
          <t>Row 24–27, Col F–G</t>
        </is>
      </c>
      <c r="D18" s="55" t="inlineStr">
        <is>
          <t>AUTO — Net Profit ÷ Revenue</t>
        </is>
      </c>
      <c r="E18" s="1" t="n"/>
    </row>
    <row r="19" ht="19" customHeight="1">
      <c r="A19" s="1" t="n"/>
      <c r="B19" s="47" t="inlineStr">
        <is>
          <t>✏️  Cash Balance ($)</t>
        </is>
      </c>
      <c r="C19" s="48" t="inlineStr">
        <is>
          <t>Row 24–27, Col H–I</t>
        </is>
      </c>
      <c r="D19" s="49" t="inlineStr">
        <is>
          <t>Current cash / total bank balance</t>
        </is>
      </c>
      <c r="E19" s="1" t="n"/>
    </row>
    <row r="20">
      <c r="A20" s="1" t="n"/>
      <c r="B20" s="1" t="n"/>
      <c r="C20" s="1" t="n"/>
      <c r="D20" s="1" t="n"/>
      <c r="E20" s="1" t="n"/>
    </row>
    <row r="21" ht="12" customHeight="1">
      <c r="A21" s="1" t="n"/>
      <c r="B21" s="1" t="n"/>
      <c r="C21" s="1" t="n"/>
      <c r="D21" s="1" t="n"/>
      <c r="E21" s="1" t="n"/>
    </row>
    <row r="22">
      <c r="A22" s="1" t="n"/>
      <c r="B22" s="58" t="inlineStr">
        <is>
          <t xml:space="preserve">  ✏️  = Manual input required     🔒 = Auto-calculated, do not edit</t>
        </is>
      </c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</sheetData>
  <mergeCells count="2">
    <mergeCell ref="B1:D1"/>
    <mergeCell ref="B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2026-05-28T17:13:43Z</dcterms:created>
  <dcterms:modified xsi:type="dcterms:W3CDTF">2026-05-28T17:13:44Z</dcterms:modified>
</cp:coreProperties>
</file>